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se\hrrishita didi data\"/>
    </mc:Choice>
  </mc:AlternateContent>
  <xr:revisionPtr revIDLastSave="0" documentId="13_ncr:1_{2F65B140-2048-4E73-A918-91F1F6E428DE}" xr6:coauthVersionLast="47" xr6:coauthVersionMax="47" xr10:uidLastSave="{00000000-0000-0000-0000-000000000000}"/>
  <bookViews>
    <workbookView xWindow="-96" yWindow="0" windowWidth="11220" windowHeight="12336" xr2:uid="{79819893-E5FA-4D1D-8F05-540D7E8E3F7E}"/>
  </bookViews>
  <sheets>
    <sheet name="Sheet1" sheetId="1" r:id="rId1"/>
  </sheets>
  <definedNames>
    <definedName name="_xlchart.v1.0" hidden="1">Sheet1!$A$11</definedName>
    <definedName name="_xlchart.v1.1" hidden="1">Sheet1!$A$12:$A$16</definedName>
    <definedName name="_xlchart.v1.2" hidden="1">Sheet1!$C$11</definedName>
    <definedName name="_xlchart.v1.3" hidden="1">Sheet1!$C$12:$C$16</definedName>
    <definedName name="_xlchart.v1.4" hidden="1">Sheet1!$A$11</definedName>
    <definedName name="_xlchart.v1.5" hidden="1">Sheet1!$A$12:$A$16</definedName>
    <definedName name="_xlchart.v1.6" hidden="1">Sheet1!$C$11</definedName>
    <definedName name="_xlchart.v1.7" hidden="1">Sheet1!$C$12:$C$16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C16" i="1"/>
  <c r="C15" i="1"/>
  <c r="C14" i="1"/>
  <c r="C13" i="1"/>
  <c r="C12" i="1"/>
  <c r="B16" i="1"/>
  <c r="B15" i="1"/>
  <c r="B14" i="1"/>
  <c r="B13" i="1"/>
  <c r="B12" i="1"/>
  <c r="B3" i="1"/>
  <c r="B4" i="1"/>
  <c r="B5" i="1"/>
  <c r="B7" i="1"/>
  <c r="B6" i="1"/>
</calcChain>
</file>

<file path=xl/sharedStrings.xml><?xml version="1.0" encoding="utf-8"?>
<sst xmlns="http://schemas.openxmlformats.org/spreadsheetml/2006/main" count="14" uniqueCount="6">
  <si>
    <t>pH</t>
  </si>
  <si>
    <t>Potential (mV)</t>
  </si>
  <si>
    <t>1st batch</t>
  </si>
  <si>
    <t>2nd batch</t>
  </si>
  <si>
    <t>3rd batch</t>
  </si>
  <si>
    <t>Standard Error (size of the bar=(max-min)/2)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</si>
</sst>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Linear Plot for Potentiometric Sensors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271033976350579E-2"/>
          <c:y val="0.15144102213314328"/>
          <c:w val="0.87065507436570422"/>
          <c:h val="0.4847743511227763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Potential 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101487314085731"/>
                  <c:y val="-0.33363486102350826"/>
                </c:manualLayout>
              </c:layout>
              <c:numFmt formatCode="General" sourceLinked="0"/>
              <c:spPr>
                <a:noFill/>
                <a:ln>
                  <a:solidFill>
                    <a:srgbClr val="00B0F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149.208</c:v>
                </c:pt>
                <c:pt idx="1">
                  <c:v>115.375</c:v>
                </c:pt>
                <c:pt idx="2">
                  <c:v>52.957999999999998</c:v>
                </c:pt>
                <c:pt idx="3">
                  <c:v>-84.958000000000013</c:v>
                </c:pt>
                <c:pt idx="4">
                  <c:v>-96.417000000000002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9-4FAD-BFAB-416ACB0E1F6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Potential 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045732919748666E-2"/>
                  <c:y val="-0.3668000765273563"/>
                </c:manualLayout>
              </c:layout>
              <c:numFmt formatCode="General" sourceLinked="0"/>
              <c:spPr>
                <a:noFill/>
                <a:ln>
                  <a:solidFill>
                    <a:schemeClr val="accent2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122.167</c:v>
                </c:pt>
                <c:pt idx="1">
                  <c:v>115.583</c:v>
                </c:pt>
                <c:pt idx="2">
                  <c:v>-20.332999999999998</c:v>
                </c:pt>
                <c:pt idx="3">
                  <c:v>-100.542</c:v>
                </c:pt>
                <c:pt idx="4">
                  <c:v>-121.125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9-4FAD-BFAB-416ACB0E1F6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Potential (mV)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722500596516343E-2"/>
                  <c:y val="-0.10242433039226642"/>
                </c:manualLayout>
              </c:layout>
              <c:numFmt formatCode="General" sourceLinked="0"/>
              <c:spPr>
                <a:noFill/>
                <a:ln>
                  <a:solidFill>
                    <a:schemeClr val="accent3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Sheet1!$D$3:$D$7</c:f>
              <c:numCache>
                <c:formatCode>General</c:formatCode>
                <c:ptCount val="5"/>
                <c:pt idx="0">
                  <c:v>272.625</c:v>
                </c:pt>
                <c:pt idx="1">
                  <c:v>178</c:v>
                </c:pt>
                <c:pt idx="2">
                  <c:v>77.917000000000002</c:v>
                </c:pt>
                <c:pt idx="3">
                  <c:v>-1.917</c:v>
                </c:pt>
                <c:pt idx="4">
                  <c:v>-4.2080000000000002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9-4FAD-BFAB-416ACB0E1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597792"/>
        <c:axId val="598598752"/>
      </c:scatterChart>
      <c:valAx>
        <c:axId val="59859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98752"/>
        <c:crossesAt val="-200"/>
        <c:crossBetween val="midCat"/>
      </c:valAx>
      <c:valAx>
        <c:axId val="5985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9779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644B1D56-932F-40DF-BC41-9B34E422828A}">
          <cx:tx>
            <cx:txData>
              <cx:f>_xlchart.v1.4</cx:f>
              <cx:v>pH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9632FD2-F216-4407-BDC0-80FB16C6F8CC}">
          <cx:tx>
            <cx:txData>
              <cx:f>_xlchart.v1.6</cx:f>
              <cx:v>Standard Error (size of the bar=(max-min)/2)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5</xdr:row>
      <xdr:rowOff>165651</xdr:rowOff>
    </xdr:from>
    <xdr:to>
      <xdr:col>20</xdr:col>
      <xdr:colOff>347869</xdr:colOff>
      <xdr:row>26</xdr:row>
      <xdr:rowOff>107673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F59FF1-38E6-8B39-A755-4B36B6E76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565548</xdr:colOff>
      <xdr:row>29</xdr:row>
      <xdr:rowOff>98823</xdr:rowOff>
    </xdr:from>
    <xdr:to>
      <xdr:col>16</xdr:col>
      <xdr:colOff>279798</xdr:colOff>
      <xdr:row>44</xdr:row>
      <xdr:rowOff>163117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3F8CD71-E973-D0BB-5D47-FA0670C4F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4517" y="546854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26F1-5A8F-4960-8A39-89EFF71BC3F8}">
  <dimension ref="A1:E16"/>
  <sheetViews>
    <sheetView tabSelected="1" topLeftCell="I1" zoomScale="74" zoomScaleNormal="64" workbookViewId="0">
      <selection activeCell="T28" sqref="T28"/>
    </sheetView>
  </sheetViews>
  <sheetFormatPr defaultRowHeight="14.4" x14ac:dyDescent="0.3"/>
  <cols>
    <col min="2" max="2" width="13.21875" bestFit="1" customWidth="1"/>
    <col min="3" max="3" width="20.21875" customWidth="1"/>
    <col min="4" max="4" width="13.21875" bestFit="1" customWidth="1"/>
    <col min="5" max="5" width="20" bestFit="1" customWidth="1"/>
  </cols>
  <sheetData>
    <row r="1" spans="1:5" x14ac:dyDescent="0.3">
      <c r="A1" s="1"/>
      <c r="B1" s="1" t="s">
        <v>2</v>
      </c>
      <c r="C1" s="1" t="s">
        <v>3</v>
      </c>
      <c r="D1" s="1" t="s">
        <v>4</v>
      </c>
    </row>
    <row r="2" spans="1:5" x14ac:dyDescent="0.3">
      <c r="A2" t="s">
        <v>0</v>
      </c>
      <c r="B2" t="s">
        <v>1</v>
      </c>
      <c r="C2" t="s">
        <v>1</v>
      </c>
      <c r="D2" t="s">
        <v>1</v>
      </c>
    </row>
    <row r="3" spans="1:5" x14ac:dyDescent="0.3">
      <c r="A3">
        <v>3</v>
      </c>
      <c r="B3">
        <f>0.149208*1000</f>
        <v>149.208</v>
      </c>
      <c r="C3">
        <v>122.167</v>
      </c>
      <c r="D3">
        <f>0.272625*1000</f>
        <v>272.625</v>
      </c>
    </row>
    <row r="4" spans="1:5" x14ac:dyDescent="0.3">
      <c r="A4">
        <v>4</v>
      </c>
      <c r="B4">
        <f>0.115375*1000</f>
        <v>115.375</v>
      </c>
      <c r="C4">
        <v>115.583</v>
      </c>
      <c r="D4">
        <f>0.178*1000</f>
        <v>178</v>
      </c>
    </row>
    <row r="5" spans="1:5" x14ac:dyDescent="0.3">
      <c r="A5">
        <v>5</v>
      </c>
      <c r="B5">
        <f>0.052958*1000</f>
        <v>52.957999999999998</v>
      </c>
      <c r="C5">
        <v>-20.332999999999998</v>
      </c>
      <c r="D5">
        <f>0.077917*1000</f>
        <v>77.917000000000002</v>
      </c>
    </row>
    <row r="6" spans="1:5" x14ac:dyDescent="0.3">
      <c r="A6">
        <v>7</v>
      </c>
      <c r="B6">
        <f>-0.084958*1000</f>
        <v>-84.958000000000013</v>
      </c>
      <c r="C6">
        <v>-100.542</v>
      </c>
      <c r="D6">
        <f>-0.001917*1000</f>
        <v>-1.917</v>
      </c>
    </row>
    <row r="7" spans="1:5" x14ac:dyDescent="0.3">
      <c r="A7">
        <v>8</v>
      </c>
      <c r="B7">
        <f>-0.096417*1000</f>
        <v>-96.417000000000002</v>
      </c>
      <c r="C7">
        <v>-121.125</v>
      </c>
      <c r="D7">
        <f>-0.004208*1000</f>
        <v>-4.2080000000000002</v>
      </c>
    </row>
    <row r="10" spans="1:5" x14ac:dyDescent="0.3">
      <c r="A10" s="1"/>
      <c r="B10" s="3" t="s">
        <v>2</v>
      </c>
      <c r="C10" s="3"/>
      <c r="D10" s="3" t="s">
        <v>3</v>
      </c>
      <c r="E10" s="3"/>
    </row>
    <row r="11" spans="1:5" ht="28.8" x14ac:dyDescent="0.3">
      <c r="A11" t="s">
        <v>0</v>
      </c>
      <c r="B11" t="s">
        <v>1</v>
      </c>
      <c r="C11" s="2" t="s">
        <v>5</v>
      </c>
      <c r="D11" t="s">
        <v>1</v>
      </c>
      <c r="E11" s="2" t="s">
        <v>5</v>
      </c>
    </row>
    <row r="12" spans="1:5" x14ac:dyDescent="0.3">
      <c r="A12">
        <v>3</v>
      </c>
      <c r="B12">
        <f>0.149208*1000</f>
        <v>149.208</v>
      </c>
      <c r="C12">
        <f>0.0099585*1000</f>
        <v>9.9585000000000008</v>
      </c>
      <c r="D12">
        <v>122.167</v>
      </c>
    </row>
    <row r="13" spans="1:5" x14ac:dyDescent="0.3">
      <c r="A13">
        <v>4</v>
      </c>
      <c r="B13">
        <f>0.115375*1000</f>
        <v>115.375</v>
      </c>
      <c r="C13">
        <f>0.0040625*1000</f>
        <v>4.0625</v>
      </c>
      <c r="D13">
        <v>115.583</v>
      </c>
    </row>
    <row r="14" spans="1:5" x14ac:dyDescent="0.3">
      <c r="A14">
        <v>5</v>
      </c>
      <c r="B14">
        <f>0.052958*1000</f>
        <v>52.957999999999998</v>
      </c>
      <c r="C14">
        <f>0.001*1000</f>
        <v>1</v>
      </c>
      <c r="D14">
        <v>-20.332999999999998</v>
      </c>
    </row>
    <row r="15" spans="1:5" x14ac:dyDescent="0.3">
      <c r="A15">
        <v>7</v>
      </c>
      <c r="B15">
        <f>-0.084958*1000</f>
        <v>-84.958000000000013</v>
      </c>
      <c r="C15">
        <f>0.0010625*1000</f>
        <v>1.0625</v>
      </c>
      <c r="D15">
        <v>-100.542</v>
      </c>
    </row>
    <row r="16" spans="1:5" x14ac:dyDescent="0.3">
      <c r="A16">
        <v>8</v>
      </c>
      <c r="B16">
        <f>-0.096417*1000</f>
        <v>-96.417000000000002</v>
      </c>
      <c r="C16">
        <f>0.001375*1000</f>
        <v>1.375</v>
      </c>
      <c r="D16">
        <v>-121.125</v>
      </c>
    </row>
  </sheetData>
  <mergeCells count="2">
    <mergeCell ref="B10:C10"/>
    <mergeCell ref="D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Jauhari</dc:creator>
  <cp:lastModifiedBy>Ananya Jauhari</cp:lastModifiedBy>
  <dcterms:created xsi:type="dcterms:W3CDTF">2025-10-13T13:07:19Z</dcterms:created>
  <dcterms:modified xsi:type="dcterms:W3CDTF">2025-10-19T12:52:08Z</dcterms:modified>
</cp:coreProperties>
</file>